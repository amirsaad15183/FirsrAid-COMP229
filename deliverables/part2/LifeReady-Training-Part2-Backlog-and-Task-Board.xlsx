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ee5e91bd6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Overview" sheetId="1" r:id="R97f16cc39d0c4818"/>
    <x:sheet xmlns:r="http://schemas.openxmlformats.org/officeDocument/2006/relationships" name="Product Backlog" sheetId="2" r:id="Rd5f205e5af4b4e47"/>
    <x:sheet xmlns:r="http://schemas.openxmlformats.org/officeDocument/2006/relationships" name="Task Board" sheetId="3" r:id="Ra16e48094584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A2130"/>
      <x:name val="Carlito"/>
    </x:font>
    <x:font>
      <x:b/>
      <x:sz val="11"/>
      <x:color rgb="FFFFFFFF"/>
      <x:name val="Carlito"/>
    </x:font>
    <x:font>
      <x:b/>
      <x:sz val="11"/>
      <x:color rgb="FF0A2130"/>
      <x:name val="Carlito"/>
    </x:font>
    <x:font>
      <x:sz val="11"/>
      <x:color rgb="FF0A213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2130"/>
      </x:patternFill>
    </x:fill>
    <x:fill>
      <x:patternFill patternType="solid">
        <x:fgColor rgb="FFEAF6F3"/>
      </x:patternFill>
    </x:fill>
    <x:fill>
      <x:patternFill patternType="solid">
        <x:fgColor rgb="FF07857F"/>
      </x:patternFill>
    </x:fill>
    <x:fill>
      <x:patternFill patternType="solid">
        <x:fgColor rgb="FFF7FAF9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D8E5E1"/>
      </x:left>
      <x:right style="thin">
        <x:color rgb="FFD8E5E1"/>
      </x:right>
      <x:top style="thin">
        <x:color rgb="FFD8E5E1"/>
      </x:top>
      <x:bottom style="thin">
        <x:color rgb="FFD8E5E1"/>
      </x:bottom>
    </x:border>
    <x:border>
      <x:left style="thin">
        <x:color rgb="FFD8E5E1"/>
      </x:left>
      <x:top style="thin">
        <x:color rgb="FFD8E5E1"/>
      </x:top>
    </x:border>
    <x:border>
      <x:top style="thin">
        <x:color rgb="FFD8E5E1"/>
      </x:top>
    </x:border>
    <x:border>
      <x:right style="thin">
        <x:color rgb="FFD8E5E1"/>
      </x:right>
      <x:top style="thin">
        <x:color rgb="FFD8E5E1"/>
      </x:top>
    </x:border>
    <x:border>
      <x:left style="thin">
        <x:color rgb="FFD8E5E1"/>
      </x:left>
    </x:border>
    <x:border>
      <x:right style="thin">
        <x:color rgb="FFD8E5E1"/>
      </x:right>
    </x:border>
    <x:border>
      <x:left style="thin">
        <x:color rgb="FFD8E5E1"/>
      </x:left>
      <x:bottom style="thin">
        <x:color rgb="FFD8E5E1"/>
      </x:bottom>
    </x:border>
    <x:border>
      <x:bottom style="thin">
        <x:color rgb="FFD8E5E1"/>
      </x:bottom>
    </x:border>
    <x:border>
      <x:right style="thin">
        <x:color rgb="FFD8E5E1"/>
      </x:right>
      <x:bottom style="thin">
        <x:color rgb="FFD8E5E1"/>
      </x:bottom>
    </x:border>
    <x:border>
      <x:left style="thin">
        <x:color rgb="FFD8E5E1"/>
      </x:left>
      <x:right style="thin">
        <x:color rgb="FFD8E5E1"/>
      </x:right>
      <x:bottom style="thin">
        <x:color rgb="FFD8E5E1"/>
      </x:bottom>
    </x:border>
    <x:border>
      <x:right style="thin">
        <x:color rgb="FFD8E5E1"/>
      </x:right>
      <x:top style="thin">
        <x:color rgb="FFD8E5E1"/>
      </x:top>
      <x:bottom style="thin">
        <x:color rgb="FFD8E5E1"/>
      </x:bottom>
    </x:border>
    <x:border>
      <x:left style="thin">
        <x:color rgb="FFD8E5E1"/>
      </x:left>
      <x:top style="thin">
        <x:color rgb="FFD8E5E1"/>
      </x:top>
      <x:bottom style="thin">
        <x:color rgb="FFD8E5E1"/>
      </x:bottom>
    </x:border>
    <x:border>
      <x:left style="thin">
        <x:color rgb="FFD8E5E1"/>
      </x:left>
      <x:right style="thin">
        <x:color rgb="FFD8E5E1"/>
      </x:right>
      <x:top style="thin">
        <x:color rgb="FFD8E5E1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8A5600"/>
      </x:font>
      <x:fill>
        <x:patternFill patternType="solid">
          <x:bgColor rgb="FFFFF2D9"/>
        </x:patternFill>
      </x:fill>
    </x:dxf>
    <x:dxf>
      <x:font>
        <x:b/>
        <x:color rgb="FF345A7C"/>
      </x:font>
      <x:fill>
        <x:patternFill patternType="solid">
          <x:bgColor rgb="FFEAF0F7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8A5600"/>
      </x:font>
      <x:fill>
        <x:patternFill patternType="solid">
          <x:bgColor rgb="FFFFF2D9"/>
        </x:patternFill>
      </x:fill>
    </x:dxf>
    <x:dxf>
      <x:font>
        <x:b/>
        <x:color rgb="FF345A7C"/>
      </x:font>
      <x:fill>
        <x:patternFill patternType="solid">
          <x:bgColor rgb="FFEAF0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7be255054441f" /><Relationship Type="http://schemas.openxmlformats.org/officeDocument/2006/relationships/theme" Target="/xl/theme/theme1.xml" Id="R91851c0fba664c5e" /><Relationship Type="http://schemas.openxmlformats.org/officeDocument/2006/relationships/sharedStrings" Target="/xl/sharedStrings.xml" Id="Rc0c5d0cf8fae4eff" /><Relationship Type="http://schemas.openxmlformats.org/officeDocument/2006/relationships/worksheet" Target="/xl/worksheets/sheet1.xml" Id="R97f16cc39d0c4818" /><Relationship Type="http://schemas.openxmlformats.org/officeDocument/2006/relationships/worksheet" Target="/xl/worksheets/sheet2.xml" Id="Rd5f205e5af4b4e47" /><Relationship Type="http://schemas.openxmlformats.org/officeDocument/2006/relationships/worksheet" Target="/xl/worksheets/sheet3.xml" Id="Ra16e48094584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4" t="str">
        <x:v>LifeReady Training — COMP229 Part 2 Agile Tracker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Owner: Amir Saad (301473849)  |  Project: First Aid, CPR/AED &amp; BLS Training Website  |  Release: Part A — Frontend/Backend Integration and CRUD</x:v>
      </x:c>
      <x:c r="B2" s="8"/>
      <x:c r="C2" s="8"/>
      <x:c r="D2" s="8"/>
      <x:c r="E2" s="8"/>
      <x:c r="F2" s="8"/>
      <x:c r="G2" s="8"/>
      <x:c r="H2" s="8"/>
    </x:row>
    <x:row r="4">
      <x:c r="A4" s="13" t="str">
        <x:v>Release status</x:v>
      </x:c>
      <x:c r="B4" s="13" t="str">
        <x:v>Value</x:v>
      </x:c>
    </x:row>
    <x:row r="5">
      <x:c r="A5" s="18" t="str">
        <x:v>Completed Part A tasks</x:v>
      </x:c>
      <x:c r="B5" s="19" t="n">
        <x:f>COUNTIF('Task Board'!D5:D20,"Done")</x:f>
        <x:v>5</x:v>
      </x:c>
    </x:row>
    <x:row r="6">
      <x:c r="A6" s="18" t="str">
        <x:v>In progress tasks</x:v>
      </x:c>
      <x:c r="B6" s="19" t="n">
        <x:f>COUNTIF('Task Board'!D5:D20,"In Progress")</x:f>
        <x:v>2</x:v>
      </x:c>
    </x:row>
    <x:row r="7">
      <x:c r="A7" s="18" t="str">
        <x:v>Planned Part B tasks</x:v>
      </x:c>
      <x:c r="B7" s="19" t="n">
        <x:f>COUNTIF('Task Board'!D5:D20,"Planned")</x:f>
        <x:v>3</x:v>
      </x:c>
    </x:row>
    <x:row r="8">
      <x:c r="A8" s="18" t="str">
        <x:v>Production security audit</x:v>
      </x:c>
      <x:c r="B8" s="19" t="str">
        <x:f>"0 high-severity production vulnerabilities"</x:f>
        <x:v>0 high-severity production vulnerabilities</x:v>
      </x:c>
    </x:row>
    <x:row r="9">
      <x:c r="A9" s="18" t="str">
        <x:v>Video requirement</x:v>
      </x:c>
      <x:c r="B9" s="19" t="str">
        <x:f>"Professor waiver recorded — no Part 2 video"</x:f>
        <x:v>Professor waiver recorded — no Part 2 video</x:v>
      </x:c>
    </x:row>
    <x:row r="11">
      <x:c r="A11" s="21" t="str">
        <x:v>Part A completion notes</x:v>
      </x:c>
      <x:c r="B11" s="21"/>
      <x:c r="C11" s="21"/>
      <x:c r="D11" s="21"/>
      <x:c r="E11" s="21"/>
      <x:c r="F11" s="21"/>
      <x:c r="G11" s="21"/>
      <x:c r="H11" s="21"/>
    </x:row>
    <x:row r="12">
      <x:c r="A12" s="41" t="str">
        <x:v>The React frontend is connected to the Express/MongoDB API. Users can sign up, sign in, manage their profile, and sign out. Administrators manage training classes and locations through protected CRUD pages. The remaining Part A handoff work is to capture current screenshots, commit and push the release, and submit the updated tracker with the GitHub link.</x:v>
      </x:c>
      <x:c r="B12" s="42"/>
      <x:c r="C12" s="42"/>
      <x:c r="D12" s="42"/>
      <x:c r="E12" s="42"/>
      <x:c r="F12" s="42"/>
      <x:c r="G12" s="42"/>
      <x:c r="H12" s="43"/>
    </x:row>
    <x:row r="13">
      <x:c r="A13" s="44"/>
      <x:c r="B13" s="45"/>
      <x:c r="C13" s="45"/>
      <x:c r="D13" s="45"/>
      <x:c r="E13" s="45"/>
      <x:c r="F13" s="45"/>
      <x:c r="G13" s="45"/>
      <x:c r="H13" s="46"/>
    </x:row>
    <x:row r="14">
      <x:c r="A14" s="44"/>
      <x:c r="B14" s="45"/>
      <x:c r="C14" s="45"/>
      <x:c r="D14" s="45"/>
      <x:c r="E14" s="45"/>
      <x:c r="F14" s="45"/>
      <x:c r="G14" s="45"/>
      <x:c r="H14" s="46"/>
    </x:row>
    <x:row r="15">
      <x:c r="A15" s="47"/>
      <x:c r="B15" s="48"/>
      <x:c r="C15" s="48"/>
      <x:c r="D15" s="48"/>
      <x:c r="E15" s="48"/>
      <x:c r="F15" s="48"/>
      <x:c r="G15" s="48"/>
      <x:c r="H15" s="49"/>
    </x:row>
  </x:sheetData>
  <x:mergeCells>
    <x:mergeCell ref="A1:H1"/>
    <x:mergeCell ref="A2:H2"/>
    <x:mergeCell ref="A11:H11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3" hidden="0" customWidth="1"/>
    <x:col min="4" max="4" width="50" hidden="0" customWidth="1"/>
    <x:col min="5" max="5" width="16" hidden="0" customWidth="1"/>
    <x:col min="6" max="6" width="18" hidden="0" customWidth="1"/>
  </x:cols>
  <x:sheetData>
    <x:row r="1" ht="30" customHeight="1">
      <x:c r="A1" s="4" t="str">
        <x:v>Product Backlog — LifeReady Training</x:v>
      </x:c>
      <x:c r="B1" s="4"/>
      <x:c r="C1" s="4"/>
      <x:c r="D1" s="4"/>
      <x:c r="E1" s="4"/>
      <x:c r="F1" s="4"/>
    </x:row>
    <x:row r="3">
      <x:c r="A3" s="13" t="str">
        <x:v>ID</x:v>
      </x:c>
      <x:c r="B3" s="13" t="str">
        <x:v>User story</x:v>
      </x:c>
      <x:c r="C3" s="13" t="str">
        <x:v>Priority</x:v>
      </x:c>
      <x:c r="D3" s="13" t="str">
        <x:v>Acceptance criteria</x:v>
      </x:c>
      <x:c r="E3" s="13" t="str">
        <x:v>Status</x:v>
      </x:c>
      <x:c r="F3" s="13" t="str">
        <x:v>Release area</x:v>
      </x:c>
    </x:row>
    <x:row r="4" ht="42" customHeight="1">
      <x:c r="A4" s="75" t="str">
        <x:v>P2-01</x:v>
      </x:c>
      <x:c r="B4" s="67" t="str">
        <x:v>As a visitor, I can see a branded landing page and upcoming first-aid classes.</x:v>
      </x:c>
      <x:c r="C4" s="78" t="str">
        <x:v>High</x:v>
      </x:c>
      <x:c r="D4" s="67" t="str">
        <x:v>The logo, site name, and scheduled courses load from the API.</x:v>
      </x:c>
      <x:c r="E4" s="78" t="str">
        <x:v>Done</x:v>
      </x:c>
      <x:c r="F4" s="68" t="str">
        <x:v>Part A</x:v>
      </x:c>
    </x:row>
    <x:row r="5" ht="42" customHeight="1">
      <x:c r="A5" s="76" t="str">
        <x:v>P2-02</x:v>
      </x:c>
      <x:c r="B5" s="70" t="str">
        <x:v>As a visitor, I can create an account and sign in securely.</x:v>
      </x:c>
      <x:c r="C5" s="79" t="str">
        <x:v>High</x:v>
      </x:c>
      <x:c r="D5" s="70" t="str">
        <x:v>Sign-up/sign-in forms validate input and create a session.</x:v>
      </x:c>
      <x:c r="E5" s="79" t="str">
        <x:v>Done</x:v>
      </x:c>
      <x:c r="F5" s="71" t="str">
        <x:v>Part A</x:v>
      </x:c>
    </x:row>
    <x:row r="6" ht="42" customHeight="1">
      <x:c r="A6" s="76" t="str">
        <x:v>P2-03</x:v>
      </x:c>
      <x:c r="B6" s="70" t="str">
        <x:v>As a signed-in user, I can access My Profile and sign out.</x:v>
      </x:c>
      <x:c r="C6" s="79" t="str">
        <x:v>High</x:v>
      </x:c>
      <x:c r="D6" s="70" t="str">
        <x:v>The menu shows My Profile and Sign out; profile can be updated or deleted.</x:v>
      </x:c>
      <x:c r="E6" s="79" t="str">
        <x:v>Done</x:v>
      </x:c>
      <x:c r="F6" s="71" t="str">
        <x:v>Part A</x:v>
      </x:c>
    </x:row>
    <x:row r="7" ht="42" customHeight="1">
      <x:c r="A7" s="76" t="str">
        <x:v>P2-04</x:v>
      </x:c>
      <x:c r="B7" s="70" t="str">
        <x:v>As an administrator, I can create, read, update, and delete training classes.</x:v>
      </x:c>
      <x:c r="C7" s="79" t="str">
        <x:v>High</x:v>
      </x:c>
      <x:c r="D7" s="70" t="str">
        <x:v>Protected class-management page performs full CRUD through the API.</x:v>
      </x:c>
      <x:c r="E7" s="79" t="str">
        <x:v>Done</x:v>
      </x:c>
      <x:c r="F7" s="71" t="str">
        <x:v>Part A</x:v>
      </x:c>
    </x:row>
    <x:row r="8" ht="42" customHeight="1">
      <x:c r="A8" s="76" t="str">
        <x:v>P2-05</x:v>
      </x:c>
      <x:c r="B8" s="70" t="str">
        <x:v>As an administrator, I can create, read, update, and delete locations.</x:v>
      </x:c>
      <x:c r="C8" s="79" t="str">
        <x:v>High</x:v>
      </x:c>
      <x:c r="D8" s="70" t="str">
        <x:v>Protected location-management page performs full CRUD through the API.</x:v>
      </x:c>
      <x:c r="E8" s="79" t="str">
        <x:v>Done</x:v>
      </x:c>
      <x:c r="F8" s="71" t="str">
        <x:v>Part A</x:v>
      </x:c>
    </x:row>
    <x:row r="9" ht="42" customHeight="1">
      <x:c r="A9" s="76" t="str">
        <x:v>P2-06</x:v>
      </x:c>
      <x:c r="B9" s="70" t="str">
        <x:v>As a learner, I can filter classes by category, location, and date.</x:v>
      </x:c>
      <x:c r="C9" s="79" t="str">
        <x:v>Medium</x:v>
      </x:c>
      <x:c r="D9" s="70" t="str">
        <x:v>Course catalogue updates visible class cards using the selected filters.</x:v>
      </x:c>
      <x:c r="E9" s="79" t="str">
        <x:v>Done</x:v>
      </x:c>
      <x:c r="F9" s="71" t="str">
        <x:v>Part A</x:v>
      </x:c>
    </x:row>
    <x:row r="10" ht="42" customHeight="1">
      <x:c r="A10" s="76" t="str">
        <x:v>P2-07</x:v>
      </x:c>
      <x:c r="B10" s="70" t="str">
        <x:v>As an administrator, I can view users and contact messages.</x:v>
      </x:c>
      <x:c r="C10" s="79" t="str">
        <x:v>Medium</x:v>
      </x:c>
      <x:c r="D10" s="70" t="str">
        <x:v>Protected user directory and message inbox load data from the API.</x:v>
      </x:c>
      <x:c r="E10" s="79" t="str">
        <x:v>Done</x:v>
      </x:c>
      <x:c r="F10" s="71" t="str">
        <x:v>Part A</x:v>
      </x:c>
    </x:row>
    <x:row r="11" ht="42" customHeight="1">
      <x:c r="A11" s="76" t="str">
        <x:v>P2-08</x:v>
      </x:c>
      <x:c r="B11" s="70" t="str">
        <x:v>As a student developer, I can submit an understandable GitHub release.</x:v>
      </x:c>
      <x:c r="C11" s="79" t="str">
        <x:v>High</x:v>
      </x:c>
      <x:c r="D11" s="70" t="str">
        <x:v>README is current and a Part A commit is pushed to GitHub.</x:v>
      </x:c>
      <x:c r="E11" s="79" t="str">
        <x:v>In Progress</x:v>
      </x:c>
      <x:c r="F11" s="71" t="str">
        <x:v>Part A handoff</x:v>
      </x:c>
    </x:row>
    <x:row r="12" ht="42" customHeight="1">
      <x:c r="A12" s="76" t="str">
        <x:v>P2-09</x:v>
      </x:c>
      <x:c r="B12" s="70" t="str">
        <x:v>As a student developer, I can show active Agile tracking.</x:v>
      </x:c>
      <x:c r="C12" s="79" t="str">
        <x:v>High</x:v>
      </x:c>
      <x:c r="D12" s="70" t="str">
        <x:v>This product backlog and task board are included with the submission.</x:v>
      </x:c>
      <x:c r="E12" s="79" t="str">
        <x:v>Done</x:v>
      </x:c>
      <x:c r="F12" s="71" t="str">
        <x:v>Part A handoff</x:v>
      </x:c>
    </x:row>
    <x:row r="13" ht="42" customHeight="1">
      <x:c r="A13" s="76" t="str">
        <x:v>P2-10</x:v>
      </x:c>
      <x:c r="B13" s="70" t="str">
        <x:v>As a tester, I can run Cypress AI end-to-end tests.</x:v>
      </x:c>
      <x:c r="C13" s="79" t="str">
        <x:v>High</x:v>
      </x:c>
      <x:c r="D13" s="70" t="str">
        <x:v>Core user and admin flows have repeatable E2E test evidence.</x:v>
      </x:c>
      <x:c r="E13" s="79" t="str">
        <x:v>Planned</x:v>
      </x:c>
      <x:c r="F13" s="71" t="str">
        <x:v>Part B</x:v>
      </x:c>
    </x:row>
    <x:row r="14" ht="42" customHeight="1">
      <x:c r="A14" s="76" t="str">
        <x:v>P2-11</x:v>
      </x:c>
      <x:c r="B14" s="70" t="str">
        <x:v>As a developer, I can evaluate performance with Lighthouse.</x:v>
      </x:c>
      <x:c r="C14" s="79" t="str">
        <x:v>Medium</x:v>
      </x:c>
      <x:c r="D14" s="70" t="str">
        <x:v>Lighthouse report identifies and documents optimisation actions.</x:v>
      </x:c>
      <x:c r="E14" s="79" t="str">
        <x:v>Planned</x:v>
      </x:c>
      <x:c r="F14" s="71" t="str">
        <x:v>Part B</x:v>
      </x:c>
    </x:row>
    <x:row r="15" ht="42" customHeight="1">
      <x:c r="A15" s="77" t="str">
        <x:v>P2-12</x:v>
      </x:c>
      <x:c r="B15" s="73" t="str">
        <x:v>As a deployer, I can host the completed project on Render.</x:v>
      </x:c>
      <x:c r="C15" s="80" t="str">
        <x:v>Medium</x:v>
      </x:c>
      <x:c r="D15" s="73" t="str">
        <x:v>Production environment variables and deployed health check are verified.</x:v>
      </x:c>
      <x:c r="E15" s="80" t="str">
        <x:v>Planned</x:v>
      </x:c>
      <x:c r="F15" s="74" t="str">
        <x:v>Final deployment</x:v>
      </x:c>
    </x:row>
  </x:sheetData>
  <x:mergeCells>
    <x:mergeCell ref="A1:F1"/>
  </x:mergeCells>
  <x:conditionalFormatting sqref="E4:E15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Planned"/>
  </x:conditionalFormatting>
  <x:dataValidations count="2">
    <x:dataValidation type="list" sqref="C4:C15">
      <x:formula1>"High,Medium,Low"</x:formula1>
    </x:dataValidation>
    <x:dataValidation type="list" sqref="E4:E15">
      <x:formula1>"Done,In Progress,Planned"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5" hidden="0" customWidth="1"/>
    <x:col min="3" max="3" width="18" hidden="0" customWidth="1"/>
    <x:col min="4" max="4" width="16" hidden="0" customWidth="1"/>
    <x:col min="5" max="5" width="20" hidden="0" customWidth="1"/>
    <x:col min="6" max="6" width="42" hidden="0" customWidth="1"/>
  </x:cols>
  <x:sheetData>
    <x:row r="1" ht="30" customHeight="1">
      <x:c r="A1" s="4" t="str">
        <x:v>Task Board — LifeReady Training</x:v>
      </x:c>
      <x:c r="B1" s="4"/>
      <x:c r="C1" s="4"/>
      <x:c r="D1" s="4"/>
      <x:c r="E1" s="4"/>
      <x:c r="F1" s="4"/>
    </x:row>
    <x:row r="3">
      <x:c r="A3" s="13" t="str">
        <x:v>Task ID</x:v>
      </x:c>
      <x:c r="B3" s="13" t="str">
        <x:v>Task</x:v>
      </x:c>
      <x:c r="C3" s="13" t="str">
        <x:v>Owner</x:v>
      </x:c>
      <x:c r="D3" s="13" t="str">
        <x:v>Status</x:v>
      </x:c>
      <x:c r="E3" s="13" t="str">
        <x:v>Release area</x:v>
      </x:c>
      <x:c r="F3" s="13" t="str">
        <x:v>Evidence / next action</x:v>
      </x:c>
    </x:row>
    <x:row r="4" ht="38" customHeight="1">
      <x:c r="A4" s="75" t="str">
        <x:v>T-01</x:v>
      </x:c>
      <x:c r="B4" s="67" t="str">
        <x:v>Build public home page and course catalogue integration</x:v>
      </x:c>
      <x:c r="C4" s="67" t="str">
        <x:v>Amir Saad</x:v>
      </x:c>
      <x:c r="D4" s="78" t="str">
        <x:v>Done</x:v>
      </x:c>
      <x:c r="E4" s="67" t="str">
        <x:v>Part A</x:v>
      </x:c>
      <x:c r="F4" s="68" t="str">
        <x:v>Home page displays API course data</x:v>
      </x:c>
    </x:row>
    <x:row r="5" ht="38" customHeight="1">
      <x:c r="A5" s="76" t="str">
        <x:v>T-02</x:v>
      </x:c>
      <x:c r="B5" s="70" t="str">
        <x:v>Implement sign-up, sign-in, sign-out, and protected profile</x:v>
      </x:c>
      <x:c r="C5" s="70" t="str">
        <x:v>Amir Saad</x:v>
      </x:c>
      <x:c r="D5" s="79" t="str">
        <x:v>Done</x:v>
      </x:c>
      <x:c r="E5" s="70" t="str">
        <x:v>Part A</x:v>
      </x:c>
      <x:c r="F5" s="71" t="str">
        <x:v>Cookie session and profile CRUD</x:v>
      </x:c>
    </x:row>
    <x:row r="6" ht="38" customHeight="1">
      <x:c r="A6" s="76" t="str">
        <x:v>T-03</x:v>
      </x:c>
      <x:c r="B6" s="70" t="str">
        <x:v>Implement administrator training-class CRUD screens</x:v>
      </x:c>
      <x:c r="C6" s="70" t="str">
        <x:v>Amir Saad</x:v>
      </x:c>
      <x:c r="D6" s="79" t="str">
        <x:v>Done</x:v>
      </x:c>
      <x:c r="E6" s="70" t="str">
        <x:v>Part A</x:v>
      </x:c>
      <x:c r="F6" s="71" t="str">
        <x:v>Create, edit, list, and delete classes</x:v>
      </x:c>
    </x:row>
    <x:row r="7" ht="38" customHeight="1">
      <x:c r="A7" s="76" t="str">
        <x:v>T-04</x:v>
      </x:c>
      <x:c r="B7" s="70" t="str">
        <x:v>Implement administrator location CRUD screens</x:v>
      </x:c>
      <x:c r="C7" s="70" t="str">
        <x:v>Amir Saad</x:v>
      </x:c>
      <x:c r="D7" s="79" t="str">
        <x:v>Done</x:v>
      </x:c>
      <x:c r="E7" s="70" t="str">
        <x:v>Part A</x:v>
      </x:c>
      <x:c r="F7" s="71" t="str">
        <x:v>Locations control public filters</x:v>
      </x:c>
    </x:row>
    <x:row r="8" ht="38" customHeight="1">
      <x:c r="A8" s="76" t="str">
        <x:v>T-05</x:v>
      </x:c>
      <x:c r="B8" s="70" t="str">
        <x:v>Add responsive navigation, current-page state, and My Profile link</x:v>
      </x:c>
      <x:c r="C8" s="70" t="str">
        <x:v>Amir Saad</x:v>
      </x:c>
      <x:c r="D8" s="79" t="str">
        <x:v>Done</x:v>
      </x:c>
      <x:c r="E8" s="70" t="str">
        <x:v>Part A</x:v>
      </x:c>
      <x:c r="F8" s="71" t="str">
        <x:v>NavLink active state and authenticated actions</x:v>
      </x:c>
    </x:row>
    <x:row r="9" ht="38" customHeight="1">
      <x:c r="A9" s="76" t="str">
        <x:v>T-06</x:v>
      </x:c>
      <x:c r="B9" s="70" t="str">
        <x:v>Update README and Part 2 Agile documentation</x:v>
      </x:c>
      <x:c r="C9" s="70" t="str">
        <x:v>Amir Saad</x:v>
      </x:c>
      <x:c r="D9" s="79" t="str">
        <x:v>Done</x:v>
      </x:c>
      <x:c r="E9" s="70" t="str">
        <x:v>Part A</x:v>
      </x:c>
      <x:c r="F9" s="71" t="str">
        <x:v>Repository is understandable for marking</x:v>
      </x:c>
    </x:row>
    <x:row r="10" ht="38" customHeight="1">
      <x:c r="A10" s="76" t="str">
        <x:v>T-07</x:v>
      </x:c>
      <x:c r="B10" s="70" t="str">
        <x:v>Commit and push the Part A release to GitHub</x:v>
      </x:c>
      <x:c r="C10" s="70" t="str">
        <x:v>Amir Saad</x:v>
      </x:c>
      <x:c r="D10" s="79" t="str">
        <x:v>In Progress</x:v>
      </x:c>
      <x:c r="E10" s="70" t="str">
        <x:v>Part A handoff</x:v>
      </x:c>
      <x:c r="F10" s="71" t="str">
        <x:v>Perform after final visual check</x:v>
      </x:c>
    </x:row>
    <x:row r="11" ht="38" customHeight="1">
      <x:c r="A11" s="76" t="str">
        <x:v>T-08</x:v>
      </x:c>
      <x:c r="B11" s="70" t="str">
        <x:v>Capture current UI and CRUD screenshots for submission evidence</x:v>
      </x:c>
      <x:c r="C11" s="70" t="str">
        <x:v>Amir Saad</x:v>
      </x:c>
      <x:c r="D11" s="79" t="str">
        <x:v>In Progress</x:v>
      </x:c>
      <x:c r="E11" s="70" t="str">
        <x:v>Part A handoff</x:v>
      </x:c>
      <x:c r="F11" s="71" t="str">
        <x:v>Use browser and admin pages</x:v>
      </x:c>
    </x:row>
    <x:row r="12" ht="38" customHeight="1">
      <x:c r="A12" s="76" t="str">
        <x:v>T-09</x:v>
      </x:c>
      <x:c r="B12" s="70" t="str">
        <x:v>Create Cypress AI end-to-end test suite and evidence</x:v>
      </x:c>
      <x:c r="C12" s="70" t="str">
        <x:v>Amir Saad</x:v>
      </x:c>
      <x:c r="D12" s="79" t="str">
        <x:v>Planned</x:v>
      </x:c>
      <x:c r="E12" s="70" t="str">
        <x:v>Part B</x:v>
      </x:c>
      <x:c r="F12" s="71" t="str">
        <x:v>Do after Part A is submitted</x:v>
      </x:c>
    </x:row>
    <x:row r="13" ht="38" customHeight="1">
      <x:c r="A13" s="76" t="str">
        <x:v>T-10</x:v>
      </x:c>
      <x:c r="B13" s="70" t="str">
        <x:v>Run Lighthouse and document performance optimisation</x:v>
      </x:c>
      <x:c r="C13" s="70" t="str">
        <x:v>Amir Saad</x:v>
      </x:c>
      <x:c r="D13" s="79" t="str">
        <x:v>Planned</x:v>
      </x:c>
      <x:c r="E13" s="70" t="str">
        <x:v>Part B</x:v>
      </x:c>
      <x:c r="F13" s="71" t="str">
        <x:v>Do after functional testing</x:v>
      </x:c>
    </x:row>
    <x:row r="14" ht="38" customHeight="1">
      <x:c r="A14" s="77" t="str">
        <x:v>T-11</x:v>
      </x:c>
      <x:c r="B14" s="73" t="str">
        <x:v>Prepare Render deployment settings and production smoke test</x:v>
      </x:c>
      <x:c r="C14" s="73" t="str">
        <x:v>Amir Saad</x:v>
      </x:c>
      <x:c r="D14" s="80" t="str">
        <x:v>Planned</x:v>
      </x:c>
      <x:c r="E14" s="73" t="str">
        <x:v>Final deployment</x:v>
      </x:c>
      <x:c r="F14" s="74" t="str">
        <x:v>Do after tests and performance review</x:v>
      </x:c>
    </x:row>
  </x:sheetData>
  <x:mergeCells>
    <x:mergeCell ref="A1:F1"/>
  </x:mergeCells>
  <x:conditionalFormatting sqref="D4:D14">
    <x:cfRule type="containsText" dxfId="3" priority="1" operator="containsText" text="Done"/>
    <x:cfRule type="containsText" dxfId="4" priority="2" operator="containsText" text="In Progress"/>
    <x:cfRule type="containsText" dxfId="5" priority="3" operator="containsText" text="Planned"/>
  </x:conditionalFormatting>
  <x:dataValidations count="1">
    <x:dataValidation type="list" sqref="D4:D14">
      <x:formula1>"Done,In Progress,Planned"</x:formula1>
    </x:dataValidation>
  </x:dataValidations>
  <x:pageMargins left="0.7" right="0.7" top="0.75" bottom="0.75" header="0.3" footer="0.3"/>
</x:worksheet>
</file>